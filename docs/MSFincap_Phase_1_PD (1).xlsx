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Task Assignment" sheetId="1" r:id="rId1"/>
  </sheets>
  <definedNames>
    <definedName name="_xlnm._FilterDatabase" localSheetId="0" hidden="1">'Task Assignment'!$A$4:$E$22</definedName>
  </definedNames>
  <calcPr calcId="145621"/>
  <fileRecoveryPr repairLoad="1"/>
</workbook>
</file>

<file path=xl/calcChain.xml><?xml version="1.0" encoding="utf-8"?>
<calcChain xmlns="http://schemas.openxmlformats.org/spreadsheetml/2006/main">
  <c r="D26" i="1" l="1"/>
  <c r="C26" i="1"/>
  <c r="B26" i="1"/>
  <c r="E26" i="1"/>
</calcChain>
</file>

<file path=xl/sharedStrings.xml><?xml version="1.0" encoding="utf-8"?>
<sst xmlns="http://schemas.openxmlformats.org/spreadsheetml/2006/main" count="84" uniqueCount="56">
  <si>
    <t>MSFincap — Phase 1 (PD Module) Task Assignment</t>
  </si>
  <si>
    <t>#</t>
  </si>
  <si>
    <t>Layer / Module</t>
  </si>
  <si>
    <t>Task / Responsibility</t>
  </si>
  <si>
    <t>Assigned To</t>
  </si>
  <si>
    <t>Notes</t>
  </si>
  <si>
    <t>Backend Layer</t>
  </si>
  <si>
    <t>Set up Celery + Redis async job queue</t>
  </si>
  <si>
    <t>All AI steps run here, stated interest</t>
  </si>
  <si>
    <t>Define task contracts (task names, input/output schema) for all agents</t>
  </si>
  <si>
    <t>Shared reference doc, agreed before both start</t>
  </si>
  <si>
    <t>Set up FastAPI project structure, routers, and auth</t>
  </si>
  <si>
    <t>Shared/Either</t>
  </si>
  <si>
    <t>Thin routing layer</t>
  </si>
  <si>
    <t>Agent Layer</t>
  </si>
  <si>
    <t>Integrate faster-whisper (self-hosted speech-to-text)</t>
  </si>
  <si>
    <t>Feeds transcript downstream, pairs with queue ownership</t>
  </si>
  <si>
    <t>Build Vision Extraction agent (LLM vision, constrained structured fields)</t>
  </si>
  <si>
    <t>Requested "image model" work</t>
  </si>
  <si>
    <t>Add YOLO object detection as supplementary signal alongside Vision Extraction</t>
  </si>
  <si>
    <t>Generic object counts, cross-check only, not replacing vision-LLM</t>
  </si>
  <si>
    <t>Build Classify + RAG agent (business category classification, gap analysis)</t>
  </si>
  <si>
    <t>Text-based GenAI, generates constrained follow-ups</t>
  </si>
  <si>
    <t>Build constrained follow-up question generator (question bank + few-shot depth limiting)</t>
  </si>
  <si>
    <t>Ties to Classify + RAG output</t>
  </si>
  <si>
    <t>CAM narrative generation (LLM writes Strengths/Weaknesses summary)</t>
  </si>
  <si>
    <t>Uses same LLM interface</t>
  </si>
  <si>
    <t>External Services</t>
  </si>
  <si>
    <t>Build swappable LLM API interface (Groq/Gemini, text + vision)</t>
  </si>
  <si>
    <t>Both agents route through this one interface</t>
  </si>
  <si>
    <t>Integrate maps/geocoding API (reverse geocode, pincode match)</t>
  </si>
  <si>
    <t>Feeds Land Valuation engine</t>
  </si>
  <si>
    <t>Database Layer</t>
  </si>
  <si>
    <t>Design PostgreSQL schema (applications, pd_sessions, extracted_fields)</t>
  </si>
  <si>
    <t>Shared, agreed together first</t>
  </si>
  <si>
    <t>Both agents write here</t>
  </si>
  <si>
    <t>Set up pgvector + embeddings pipeline (sentence-transformers)</t>
  </si>
  <si>
    <t>Feeds RAG retrieval</t>
  </si>
  <si>
    <t>Set up file storage (photos, audio, CAM PDFs)</t>
  </si>
  <si>
    <t>Vision/speech agents write outputs here</t>
  </si>
  <si>
    <t>Reconciliation Layer</t>
  </si>
  <si>
    <t>Build Land Valuation engine (three-source combination)</t>
  </si>
  <si>
    <t>Reconciliation logic, not GenAI</t>
  </si>
  <si>
    <t>Build CAM Report Generator (assembles final PD report)</t>
  </si>
  <si>
    <t>Pulls from both agents' outputs</t>
  </si>
  <si>
    <t>Cross-cutting</t>
  </si>
  <si>
    <t>Build completion gate logic (blocks incomplete cases)</t>
  </si>
  <si>
    <t>Reacts to job/queue completion events</t>
  </si>
  <si>
    <t>RAG knowledge base authoring coordination (20-25 profession docs)</t>
  </si>
  <si>
    <t>Content work, not code — keep off pure engineering hour count</t>
  </si>
  <si>
    <t>Task Count</t>
  </si>
  <si>
    <t>Shared</t>
  </si>
  <si>
    <t>Total</t>
  </si>
  <si>
    <t>Riddhi</t>
  </si>
  <si>
    <t>Shashwat</t>
  </si>
  <si>
    <t xml:space="preserve">Backend/Core Engine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</si>
</sst>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zoomScale="90" zoomScaleNormal="90" workbookViewId="0">
      <pane ySplit="4" topLeftCell="A11" activePane="bottomLeft" state="frozen"/>
      <selection pane="bottomLeft" activeCell="D8" sqref="D8"/>
    </sheetView>
  </sheetViews>
  <sheetFormatPr defaultRowHeight="14.4" x14ac:dyDescent="0.3"/>
  <cols>
    <col min="1" max="1" width="6" customWidth="1"/>
    <col min="2" max="2" width="20" customWidth="1"/>
    <col min="3" max="3" width="58" customWidth="1"/>
    <col min="4" max="4" width="34" customWidth="1"/>
    <col min="5" max="5" width="55" customWidth="1"/>
  </cols>
  <sheetData>
    <row r="1" spans="1:5" ht="25.95" customHeight="1" x14ac:dyDescent="0.4">
      <c r="A1" s="15" t="s">
        <v>0</v>
      </c>
      <c r="B1" s="14"/>
      <c r="C1" s="14"/>
      <c r="D1" s="14"/>
      <c r="E1" s="14"/>
    </row>
    <row r="2" spans="1:5" ht="22.05" customHeight="1" x14ac:dyDescent="0.3">
      <c r="A2" s="13" t="s">
        <v>55</v>
      </c>
      <c r="B2" s="14"/>
      <c r="C2" s="14"/>
      <c r="D2" s="14"/>
      <c r="E2" s="14"/>
    </row>
    <row r="4" spans="1:5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s="2">
        <v>1</v>
      </c>
      <c r="B5" s="2" t="s">
        <v>6</v>
      </c>
      <c r="C5" s="2" t="s">
        <v>7</v>
      </c>
      <c r="D5" s="12" t="s">
        <v>54</v>
      </c>
      <c r="E5" s="2" t="s">
        <v>8</v>
      </c>
    </row>
    <row r="6" spans="1:5" ht="28.8" x14ac:dyDescent="0.3">
      <c r="A6" s="2">
        <v>2</v>
      </c>
      <c r="B6" s="2" t="s">
        <v>6</v>
      </c>
      <c r="C6" s="2" t="s">
        <v>9</v>
      </c>
      <c r="D6" s="3" t="s">
        <v>53</v>
      </c>
      <c r="E6" s="2" t="s">
        <v>10</v>
      </c>
    </row>
    <row r="7" spans="1:5" x14ac:dyDescent="0.3">
      <c r="A7" s="2">
        <v>3</v>
      </c>
      <c r="B7" s="2" t="s">
        <v>6</v>
      </c>
      <c r="C7" s="2" t="s">
        <v>11</v>
      </c>
      <c r="D7" s="4" t="s">
        <v>12</v>
      </c>
      <c r="E7" s="2" t="s">
        <v>13</v>
      </c>
    </row>
    <row r="8" spans="1:5" x14ac:dyDescent="0.3">
      <c r="A8" s="2">
        <v>4</v>
      </c>
      <c r="B8" s="2" t="s">
        <v>14</v>
      </c>
      <c r="C8" s="2" t="s">
        <v>15</v>
      </c>
      <c r="D8" s="3" t="s">
        <v>53</v>
      </c>
      <c r="E8" s="2" t="s">
        <v>16</v>
      </c>
    </row>
    <row r="9" spans="1:5" ht="28.8" x14ac:dyDescent="0.3">
      <c r="A9" s="2">
        <v>5</v>
      </c>
      <c r="B9" s="2" t="s">
        <v>14</v>
      </c>
      <c r="C9" s="2" t="s">
        <v>17</v>
      </c>
      <c r="D9" s="3" t="s">
        <v>53</v>
      </c>
      <c r="E9" s="2" t="s">
        <v>18</v>
      </c>
    </row>
    <row r="10" spans="1:5" ht="28.8" x14ac:dyDescent="0.3">
      <c r="A10" s="2">
        <v>6</v>
      </c>
      <c r="B10" s="2" t="s">
        <v>14</v>
      </c>
      <c r="C10" s="2" t="s">
        <v>19</v>
      </c>
      <c r="D10" s="3" t="s">
        <v>53</v>
      </c>
      <c r="E10" s="2" t="s">
        <v>20</v>
      </c>
    </row>
    <row r="11" spans="1:5" ht="28.8" x14ac:dyDescent="0.3">
      <c r="A11" s="2">
        <v>7</v>
      </c>
      <c r="B11" s="2" t="s">
        <v>14</v>
      </c>
      <c r="C11" s="2" t="s">
        <v>21</v>
      </c>
      <c r="D11" s="5" t="s">
        <v>54</v>
      </c>
      <c r="E11" s="2" t="s">
        <v>22</v>
      </c>
    </row>
    <row r="12" spans="1:5" ht="28.8" x14ac:dyDescent="0.3">
      <c r="A12" s="2">
        <v>8</v>
      </c>
      <c r="B12" s="2" t="s">
        <v>14</v>
      </c>
      <c r="C12" s="2" t="s">
        <v>23</v>
      </c>
      <c r="D12" s="5" t="s">
        <v>54</v>
      </c>
      <c r="E12" s="2" t="s">
        <v>24</v>
      </c>
    </row>
    <row r="13" spans="1:5" ht="28.8" x14ac:dyDescent="0.3">
      <c r="A13" s="2">
        <v>9</v>
      </c>
      <c r="B13" s="2" t="s">
        <v>14</v>
      </c>
      <c r="C13" s="2" t="s">
        <v>25</v>
      </c>
      <c r="D13" s="5" t="s">
        <v>54</v>
      </c>
      <c r="E13" s="2" t="s">
        <v>26</v>
      </c>
    </row>
    <row r="14" spans="1:5" x14ac:dyDescent="0.3">
      <c r="A14" s="2">
        <v>10</v>
      </c>
      <c r="B14" s="2" t="s">
        <v>27</v>
      </c>
      <c r="C14" s="2" t="s">
        <v>28</v>
      </c>
      <c r="D14" s="5" t="s">
        <v>54</v>
      </c>
      <c r="E14" s="2" t="s">
        <v>29</v>
      </c>
    </row>
    <row r="15" spans="1:5" x14ac:dyDescent="0.3">
      <c r="A15" s="2">
        <v>11</v>
      </c>
      <c r="B15" s="2" t="s">
        <v>27</v>
      </c>
      <c r="C15" s="2" t="s">
        <v>30</v>
      </c>
      <c r="D15" s="11" t="s">
        <v>53</v>
      </c>
      <c r="E15" s="2" t="s">
        <v>31</v>
      </c>
    </row>
    <row r="16" spans="1:5" ht="28.8" x14ac:dyDescent="0.3">
      <c r="A16" s="2">
        <v>12</v>
      </c>
      <c r="B16" s="2" t="s">
        <v>32</v>
      </c>
      <c r="C16" s="2" t="s">
        <v>33</v>
      </c>
      <c r="D16" s="4" t="s">
        <v>34</v>
      </c>
      <c r="E16" s="2" t="s">
        <v>35</v>
      </c>
    </row>
    <row r="17" spans="1:5" x14ac:dyDescent="0.3">
      <c r="A17" s="2">
        <v>13</v>
      </c>
      <c r="B17" s="2" t="s">
        <v>32</v>
      </c>
      <c r="C17" s="2" t="s">
        <v>36</v>
      </c>
      <c r="D17" s="5" t="s">
        <v>54</v>
      </c>
      <c r="E17" s="2" t="s">
        <v>37</v>
      </c>
    </row>
    <row r="18" spans="1:5" x14ac:dyDescent="0.3">
      <c r="A18" s="2">
        <v>14</v>
      </c>
      <c r="B18" s="2" t="s">
        <v>32</v>
      </c>
      <c r="C18" s="2" t="s">
        <v>38</v>
      </c>
      <c r="D18" s="3" t="s">
        <v>53</v>
      </c>
      <c r="E18" s="2" t="s">
        <v>39</v>
      </c>
    </row>
    <row r="19" spans="1:5" x14ac:dyDescent="0.3">
      <c r="A19" s="2">
        <v>15</v>
      </c>
      <c r="B19" s="2" t="s">
        <v>40</v>
      </c>
      <c r="C19" s="2" t="s">
        <v>41</v>
      </c>
      <c r="D19" s="11" t="s">
        <v>53</v>
      </c>
      <c r="E19" s="2" t="s">
        <v>42</v>
      </c>
    </row>
    <row r="20" spans="1:5" x14ac:dyDescent="0.3">
      <c r="A20" s="2">
        <v>16</v>
      </c>
      <c r="B20" s="2" t="s">
        <v>40</v>
      </c>
      <c r="C20" s="2" t="s">
        <v>43</v>
      </c>
      <c r="D20" s="5" t="s">
        <v>54</v>
      </c>
      <c r="E20" s="2" t="s">
        <v>44</v>
      </c>
    </row>
    <row r="21" spans="1:5" x14ac:dyDescent="0.3">
      <c r="A21" s="2">
        <v>17</v>
      </c>
      <c r="B21" s="2" t="s">
        <v>45</v>
      </c>
      <c r="C21" s="2" t="s">
        <v>46</v>
      </c>
      <c r="D21" s="3" t="s">
        <v>53</v>
      </c>
      <c r="E21" s="2" t="s">
        <v>47</v>
      </c>
    </row>
    <row r="22" spans="1:5" x14ac:dyDescent="0.3">
      <c r="A22" s="2">
        <v>18</v>
      </c>
      <c r="B22" s="2" t="s">
        <v>45</v>
      </c>
      <c r="C22" s="2" t="s">
        <v>48</v>
      </c>
      <c r="D22" s="12" t="s">
        <v>54</v>
      </c>
      <c r="E22" s="2" t="s">
        <v>49</v>
      </c>
    </row>
    <row r="23" spans="1:5" x14ac:dyDescent="0.3">
      <c r="A23" s="6"/>
      <c r="B23" s="6"/>
      <c r="C23" s="6"/>
      <c r="D23" s="6"/>
      <c r="E23" s="6"/>
    </row>
    <row r="24" spans="1:5" x14ac:dyDescent="0.3">
      <c r="A24" s="6"/>
      <c r="B24" s="6"/>
      <c r="C24" s="6"/>
      <c r="D24" s="6"/>
      <c r="E24" s="6"/>
    </row>
    <row r="25" spans="1:5" x14ac:dyDescent="0.3">
      <c r="A25" s="7" t="s">
        <v>50</v>
      </c>
      <c r="B25" s="7" t="s">
        <v>53</v>
      </c>
      <c r="C25" s="7" t="s">
        <v>54</v>
      </c>
      <c r="D25" s="7" t="s">
        <v>51</v>
      </c>
      <c r="E25" s="7" t="s">
        <v>52</v>
      </c>
    </row>
    <row r="26" spans="1:5" x14ac:dyDescent="0.3">
      <c r="A26" s="6"/>
      <c r="B26" s="8">
        <f>COUNTIF(D5:D22,"Riddhi")</f>
        <v>8</v>
      </c>
      <c r="C26" s="9">
        <f>COUNTIF(D5:D22,"Shashwat")</f>
        <v>8</v>
      </c>
      <c r="D26" s="10">
        <f>COUNTIFS(D5:D22,"&lt;&gt;Riddhi",D5:D22,"&lt;&gt;Shashwat")</f>
        <v>2</v>
      </c>
      <c r="E26" s="6">
        <f>SUM(B25:D25)</f>
        <v>0</v>
      </c>
    </row>
  </sheetData>
  <autoFilter ref="A4:E22"/>
  <mergeCells count="2">
    <mergeCell ref="A2:E2"/>
    <mergeCell ref="A1:E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Assignment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2026-09-17T03:55:35Z</dcterms:created>
  <dcterms:modified xsi:type="dcterms:W3CDTF">2026-09-17T06:44:42Z</dcterms:modified>
</cp:coreProperties>
</file>